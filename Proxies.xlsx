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rossberg/Desktop/"/>
    </mc:Choice>
  </mc:AlternateContent>
  <xr:revisionPtr revIDLastSave="0" documentId="13_ncr:1_{1AFC2FE4-7F8C-1048-AEB9-8B31AE5BD81A}" xr6:coauthVersionLast="47" xr6:coauthVersionMax="47" xr10:uidLastSave="{00000000-0000-0000-0000-000000000000}"/>
  <bookViews>
    <workbookView xWindow="-51200" yWindow="-28300" windowWidth="51200" windowHeight="28300" xr2:uid="{543621DB-B441-F74D-968F-679735AD53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F11" i="1" l="1"/>
  <c r="F2" i="1"/>
  <c r="F3" i="1"/>
  <c r="F4" i="1"/>
  <c r="F5" i="1"/>
  <c r="F6" i="1"/>
  <c r="F7" i="1"/>
  <c r="F8" i="1"/>
  <c r="F9" i="1"/>
  <c r="F10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</calcChain>
</file>

<file path=xl/sharedStrings.xml><?xml version="1.0" encoding="utf-8"?>
<sst xmlns="http://schemas.openxmlformats.org/spreadsheetml/2006/main" count="137" uniqueCount="57">
  <si>
    <t>Column1</t>
  </si>
  <si>
    <t>Feature</t>
  </si>
  <si>
    <t>Understandability Score</t>
  </si>
  <si>
    <t>Word Frequency</t>
  </si>
  <si>
    <t>Age of Acquisition</t>
  </si>
  <si>
    <t>Word Length</t>
  </si>
  <si>
    <t>Polysemy</t>
  </si>
  <si>
    <t>CERF Level</t>
  </si>
  <si>
    <t>D2</t>
  </si>
  <si>
    <t>AST</t>
  </si>
  <si>
    <t>C2</t>
  </si>
  <si>
    <t>relaxation</t>
  </si>
  <si>
    <t>B1</t>
  </si>
  <si>
    <t>serum creatinine</t>
  </si>
  <si>
    <t>hemoglobin</t>
  </si>
  <si>
    <t>gender</t>
  </si>
  <si>
    <t>B2</t>
  </si>
  <si>
    <t>weight</t>
  </si>
  <si>
    <t>Gtp</t>
  </si>
  <si>
    <t>tartar</t>
  </si>
  <si>
    <t>height</t>
  </si>
  <si>
    <t>eyesight (left)</t>
  </si>
  <si>
    <t>hearing (left)</t>
  </si>
  <si>
    <t>A1</t>
  </si>
  <si>
    <t>LDL</t>
  </si>
  <si>
    <t>Cholesterol</t>
  </si>
  <si>
    <t>dental caries</t>
  </si>
  <si>
    <t>eyesight (right)</t>
  </si>
  <si>
    <t>HDL</t>
  </si>
  <si>
    <t>waist</t>
  </si>
  <si>
    <t>urine protein</t>
  </si>
  <si>
    <t>fasting blood sugar</t>
  </si>
  <si>
    <t>triglyceride</t>
  </si>
  <si>
    <t>Age</t>
  </si>
  <si>
    <t>systolic</t>
  </si>
  <si>
    <t>hearing (right)</t>
  </si>
  <si>
    <t>ALT</t>
  </si>
  <si>
    <t>D1</t>
  </si>
  <si>
    <t>Paperless Billing</t>
  </si>
  <si>
    <t>Payment Method</t>
  </si>
  <si>
    <t>Dependents</t>
  </si>
  <si>
    <t>Multiple Lines</t>
  </si>
  <si>
    <t>C1</t>
  </si>
  <si>
    <t>Total Charges</t>
  </si>
  <si>
    <t>Phone Service</t>
  </si>
  <si>
    <t>Device Protection</t>
  </si>
  <si>
    <t>Monthly Charges</t>
  </si>
  <si>
    <t>Senior Citizen</t>
  </si>
  <si>
    <t>Online Backup</t>
  </si>
  <si>
    <t>Tech Support</t>
  </si>
  <si>
    <t>Streaming Movies</t>
  </si>
  <si>
    <t>Online Security</t>
  </si>
  <si>
    <t>Contract</t>
  </si>
  <si>
    <t>Internet Service</t>
  </si>
  <si>
    <t>Partner</t>
  </si>
  <si>
    <t>Streaming TV</t>
  </si>
  <si>
    <t>tenure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</si>
</sst>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8BE399-B804-6645-8083-26470B5761EB}" name="Table1" displayName="Table1" ref="A1:H44" totalsRowShown="0" headerRowDxfId="9" dataDxfId="8">
  <autoFilter ref="A1:H44" xr:uid="{228BE399-B804-6645-8083-26470B5761EB}"/>
  <tableColumns count="8">
    <tableColumn id="8" xr3:uid="{9AA33F97-42AE-9F40-A316-01F04A85830D}" name="Column1" dataDxfId="7"/>
    <tableColumn id="1" xr3:uid="{60CA4D97-FCF0-D84D-8D3F-E8CCF2A28620}" name="Feature" dataDxfId="6"/>
    <tableColumn id="2" xr3:uid="{56C4B951-E7C9-F04A-817B-5EDE50F69A50}" name="Understandability Score" dataDxfId="5"/>
    <tableColumn id="3" xr3:uid="{B53A2AE9-988A-B84A-89AD-97D4AC86567C}" name="Word Frequency" dataDxfId="4"/>
    <tableColumn id="4" xr3:uid="{9BC6A304-660C-444B-B780-F1F22C1027A7}" name="Age of Acquisition" dataDxfId="3"/>
    <tableColumn id="5" xr3:uid="{7FEBB2ED-6524-E54E-8416-4C63161547F3}" name="Word Length" dataDxfId="2">
      <calculatedColumnFormula>LEN(Table1[[#This Row],[Feature]])</calculatedColumnFormula>
    </tableColumn>
    <tableColumn id="6" xr3:uid="{376EC33B-A927-D54E-8168-B40F830F2844}" name="Polysemy" dataDxfId="1"/>
    <tableColumn id="7" xr3:uid="{C985A55B-26FF-FE40-ADD9-104820FD6B06}" name="CERF Level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D194F-554D-9543-AC8D-F652EDBDE7C3}">
  <dimension ref="A1:H44"/>
  <sheetViews>
    <sheetView tabSelected="1" zoomScale="368" zoomScaleNormal="100" workbookViewId="0">
      <selection activeCell="E1" sqref="E1"/>
    </sheetView>
  </sheetViews>
  <sheetFormatPr baseColWidth="10" defaultRowHeight="16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1" t="s">
        <v>8</v>
      </c>
      <c r="B2" s="1" t="s">
        <v>9</v>
      </c>
      <c r="C2" s="1">
        <v>2.7321428571428501</v>
      </c>
      <c r="D2" s="1">
        <v>503</v>
      </c>
      <c r="E2" s="1">
        <v>25</v>
      </c>
      <c r="F2" s="1">
        <f>LEN(Table1[[#This Row],[Feature]])</f>
        <v>3</v>
      </c>
      <c r="G2" s="1">
        <v>1</v>
      </c>
      <c r="H2" s="1" t="s">
        <v>10</v>
      </c>
    </row>
    <row r="3" spans="1:8" x14ac:dyDescent="0.2">
      <c r="A3" s="1" t="s">
        <v>8</v>
      </c>
      <c r="B3" s="1" t="s">
        <v>11</v>
      </c>
      <c r="C3" s="1">
        <v>3.09375</v>
      </c>
      <c r="D3" s="1">
        <v>3931</v>
      </c>
      <c r="E3" s="1">
        <v>9.56</v>
      </c>
      <c r="F3" s="1">
        <f>LEN(Table1[[#This Row],[Feature]])</f>
        <v>10</v>
      </c>
      <c r="G3" s="1">
        <v>7</v>
      </c>
      <c r="H3" s="1" t="s">
        <v>12</v>
      </c>
    </row>
    <row r="4" spans="1:8" x14ac:dyDescent="0.2">
      <c r="A4" s="1" t="s">
        <v>8</v>
      </c>
      <c r="B4" s="1" t="s">
        <v>13</v>
      </c>
      <c r="C4" s="1">
        <v>2.6153846153846101</v>
      </c>
      <c r="D4" s="1">
        <v>172</v>
      </c>
      <c r="E4" s="1">
        <v>25</v>
      </c>
      <c r="F4" s="1">
        <f>LEN(Table1[[#This Row],[Feature]])</f>
        <v>16</v>
      </c>
      <c r="G4" s="1">
        <v>1</v>
      </c>
      <c r="H4" s="1" t="s">
        <v>10</v>
      </c>
    </row>
    <row r="5" spans="1:8" x14ac:dyDescent="0.2">
      <c r="A5" s="1" t="s">
        <v>8</v>
      </c>
      <c r="B5" s="1" t="s">
        <v>14</v>
      </c>
      <c r="C5" s="1">
        <v>2.125</v>
      </c>
      <c r="D5" s="1">
        <v>860</v>
      </c>
      <c r="E5" s="1">
        <v>13.45</v>
      </c>
      <c r="F5" s="1">
        <f>LEN(Table1[[#This Row],[Feature]])</f>
        <v>10</v>
      </c>
      <c r="G5" s="1">
        <v>1</v>
      </c>
      <c r="H5" s="1" t="s">
        <v>10</v>
      </c>
    </row>
    <row r="6" spans="1:8" x14ac:dyDescent="0.2">
      <c r="A6" s="1" t="s">
        <v>8</v>
      </c>
      <c r="B6" s="1" t="s">
        <v>15</v>
      </c>
      <c r="C6" s="1">
        <v>2.1629629629629599</v>
      </c>
      <c r="D6" s="1">
        <v>45914</v>
      </c>
      <c r="E6" s="1">
        <v>7</v>
      </c>
      <c r="F6" s="1">
        <f>LEN(Table1[[#This Row],[Feature]])</f>
        <v>6</v>
      </c>
      <c r="G6" s="1">
        <v>2</v>
      </c>
      <c r="H6" s="1" t="s">
        <v>16</v>
      </c>
    </row>
    <row r="7" spans="1:8" x14ac:dyDescent="0.2">
      <c r="A7" s="1" t="s">
        <v>8</v>
      </c>
      <c r="B7" s="1" t="s">
        <v>17</v>
      </c>
      <c r="C7" s="1">
        <v>2.15441176470588</v>
      </c>
      <c r="D7" s="1">
        <v>86228</v>
      </c>
      <c r="E7" s="1">
        <v>6.53</v>
      </c>
      <c r="F7" s="1">
        <f>LEN(Table1[[#This Row],[Feature]])</f>
        <v>6</v>
      </c>
      <c r="G7" s="1">
        <v>8</v>
      </c>
      <c r="H7" s="1" t="s">
        <v>12</v>
      </c>
    </row>
    <row r="8" spans="1:8" x14ac:dyDescent="0.2">
      <c r="A8" s="1" t="s">
        <v>8</v>
      </c>
      <c r="B8" s="1" t="s">
        <v>18</v>
      </c>
      <c r="C8" s="1">
        <v>3.0588235294117601</v>
      </c>
      <c r="D8" s="1">
        <v>117</v>
      </c>
      <c r="E8" s="1">
        <v>25</v>
      </c>
      <c r="F8" s="1">
        <f>LEN(Table1[[#This Row],[Feature]])</f>
        <v>3</v>
      </c>
      <c r="G8" s="1">
        <v>1</v>
      </c>
      <c r="H8" s="1" t="s">
        <v>10</v>
      </c>
    </row>
    <row r="9" spans="1:8" x14ac:dyDescent="0.2">
      <c r="A9" s="1" t="s">
        <v>8</v>
      </c>
      <c r="B9" s="1" t="s">
        <v>19</v>
      </c>
      <c r="C9" s="1">
        <v>2.7654320987654302</v>
      </c>
      <c r="D9" s="1">
        <v>754</v>
      </c>
      <c r="E9" s="1">
        <v>9.94</v>
      </c>
      <c r="F9" s="1">
        <f>LEN(Table1[[#This Row],[Feature]])</f>
        <v>6</v>
      </c>
      <c r="G9" s="1">
        <v>2</v>
      </c>
      <c r="H9" s="1" t="s">
        <v>10</v>
      </c>
    </row>
    <row r="10" spans="1:8" x14ac:dyDescent="0.2">
      <c r="A10" s="1" t="s">
        <v>8</v>
      </c>
      <c r="B10" s="1" t="s">
        <v>20</v>
      </c>
      <c r="C10" s="1">
        <v>2.35</v>
      </c>
      <c r="D10" s="1">
        <v>30932</v>
      </c>
      <c r="E10" s="1">
        <v>5.42</v>
      </c>
      <c r="F10" s="1">
        <f>LEN(Table1[[#This Row],[Feature]])</f>
        <v>6</v>
      </c>
      <c r="G10" s="1">
        <v>4</v>
      </c>
      <c r="H10" s="1" t="s">
        <v>12</v>
      </c>
    </row>
    <row r="11" spans="1:8" x14ac:dyDescent="0.2">
      <c r="A11" s="1" t="s">
        <v>8</v>
      </c>
      <c r="B11" s="1" t="s">
        <v>21</v>
      </c>
      <c r="C11" s="1">
        <v>2.8035714285714199</v>
      </c>
      <c r="D11" s="1">
        <v>1583</v>
      </c>
      <c r="E11" s="1">
        <v>7.59</v>
      </c>
      <c r="F11" s="1">
        <f>LEN(Table1[[#This Row],[Feature]])</f>
        <v>15</v>
      </c>
      <c r="G11" s="1">
        <v>1</v>
      </c>
      <c r="H11" s="1" t="s">
        <v>16</v>
      </c>
    </row>
    <row r="12" spans="1:8" x14ac:dyDescent="0.2">
      <c r="A12" s="1" t="s">
        <v>8</v>
      </c>
      <c r="B12" s="1" t="s">
        <v>22</v>
      </c>
      <c r="C12" s="1">
        <v>3.375</v>
      </c>
      <c r="D12" s="1">
        <v>71974</v>
      </c>
      <c r="E12" s="1">
        <v>6.05</v>
      </c>
      <c r="F12" s="1">
        <f>LEN(Table1[[#This Row],[Feature]])</f>
        <v>14</v>
      </c>
      <c r="G12" s="1">
        <v>7</v>
      </c>
      <c r="H12" s="1" t="s">
        <v>23</v>
      </c>
    </row>
    <row r="13" spans="1:8" x14ac:dyDescent="0.2">
      <c r="A13" s="1" t="s">
        <v>8</v>
      </c>
      <c r="B13" s="1" t="s">
        <v>24</v>
      </c>
      <c r="C13" s="1">
        <v>2.4196428571428501</v>
      </c>
      <c r="D13" s="1">
        <v>1216</v>
      </c>
      <c r="E13" s="1">
        <v>25</v>
      </c>
      <c r="F13" s="1">
        <f>LEN(Table1[[#This Row],[Feature]])</f>
        <v>3</v>
      </c>
      <c r="G13" s="1">
        <v>1</v>
      </c>
      <c r="H13" s="1" t="s">
        <v>10</v>
      </c>
    </row>
    <row r="14" spans="1:8" x14ac:dyDescent="0.2">
      <c r="A14" s="1" t="s">
        <v>8</v>
      </c>
      <c r="B14" s="1" t="s">
        <v>25</v>
      </c>
      <c r="C14" s="1">
        <v>2.1776315789473601</v>
      </c>
      <c r="D14" s="1">
        <v>14607</v>
      </c>
      <c r="E14" s="1">
        <v>13.15</v>
      </c>
      <c r="F14" s="1">
        <f>LEN(Table1[[#This Row],[Feature]])</f>
        <v>11</v>
      </c>
      <c r="G14" s="1">
        <v>1</v>
      </c>
      <c r="H14" s="1" t="s">
        <v>10</v>
      </c>
    </row>
    <row r="15" spans="1:8" x14ac:dyDescent="0.2">
      <c r="A15" s="1" t="s">
        <v>8</v>
      </c>
      <c r="B15" s="1" t="s">
        <v>26</v>
      </c>
      <c r="C15" s="1">
        <v>1.9682539682539599</v>
      </c>
      <c r="D15" s="1">
        <v>64</v>
      </c>
      <c r="E15" s="1">
        <v>25</v>
      </c>
      <c r="F15" s="1">
        <f>LEN(Table1[[#This Row],[Feature]])</f>
        <v>13</v>
      </c>
      <c r="G15" s="1">
        <v>1</v>
      </c>
      <c r="H15" s="1" t="s">
        <v>10</v>
      </c>
    </row>
    <row r="16" spans="1:8" x14ac:dyDescent="0.2">
      <c r="A16" s="1" t="s">
        <v>8</v>
      </c>
      <c r="B16" s="1" t="s">
        <v>27</v>
      </c>
      <c r="C16" s="1">
        <v>2.65625</v>
      </c>
      <c r="D16" s="1">
        <v>1583</v>
      </c>
      <c r="E16" s="1">
        <v>7.59</v>
      </c>
      <c r="F16" s="1">
        <f>LEN(Table1[[#This Row],[Feature]])</f>
        <v>16</v>
      </c>
      <c r="G16" s="1">
        <v>1</v>
      </c>
      <c r="H16" s="1" t="s">
        <v>16</v>
      </c>
    </row>
    <row r="17" spans="1:8" x14ac:dyDescent="0.2">
      <c r="A17" s="1" t="s">
        <v>8</v>
      </c>
      <c r="B17" s="1" t="s">
        <v>28</v>
      </c>
      <c r="C17" s="1">
        <v>3.2</v>
      </c>
      <c r="D17" s="1">
        <v>1061</v>
      </c>
      <c r="E17" s="1">
        <v>25</v>
      </c>
      <c r="F17" s="1">
        <f>LEN(Table1[[#This Row],[Feature]])</f>
        <v>3</v>
      </c>
      <c r="G17" s="1">
        <v>1</v>
      </c>
      <c r="H17" s="1" t="s">
        <v>10</v>
      </c>
    </row>
    <row r="18" spans="1:8" x14ac:dyDescent="0.2">
      <c r="A18" s="1" t="s">
        <v>8</v>
      </c>
      <c r="B18" s="1" t="s">
        <v>29</v>
      </c>
      <c r="C18" s="1">
        <v>2.1826923076922999</v>
      </c>
      <c r="D18" s="1">
        <v>11167</v>
      </c>
      <c r="E18" s="1">
        <v>6.42</v>
      </c>
      <c r="F18" s="1">
        <f>LEN(Table1[[#This Row],[Feature]])</f>
        <v>5</v>
      </c>
      <c r="G18" s="1">
        <v>2</v>
      </c>
      <c r="H18" s="1" t="s">
        <v>16</v>
      </c>
    </row>
    <row r="19" spans="1:8" x14ac:dyDescent="0.2">
      <c r="A19" s="1" t="s">
        <v>8</v>
      </c>
      <c r="B19" s="1" t="s">
        <v>30</v>
      </c>
      <c r="C19" s="1">
        <v>2.5514705882352899</v>
      </c>
      <c r="D19" s="1">
        <v>15</v>
      </c>
      <c r="E19" s="1">
        <v>10.39</v>
      </c>
      <c r="F19" s="1">
        <f>LEN(Table1[[#This Row],[Feature]])</f>
        <v>13</v>
      </c>
      <c r="G19" s="1">
        <v>1</v>
      </c>
      <c r="H19" s="1" t="s">
        <v>10</v>
      </c>
    </row>
    <row r="20" spans="1:8" x14ac:dyDescent="0.2">
      <c r="A20" s="1" t="s">
        <v>8</v>
      </c>
      <c r="B20" s="1" t="s">
        <v>31</v>
      </c>
      <c r="C20" s="1">
        <v>2.375</v>
      </c>
      <c r="D20" s="1">
        <v>37</v>
      </c>
      <c r="E20" s="1">
        <v>25</v>
      </c>
      <c r="F20" s="1">
        <f>LEN(Table1[[#This Row],[Feature]])</f>
        <v>19</v>
      </c>
      <c r="G20" s="1">
        <v>1</v>
      </c>
      <c r="H20" s="1" t="s">
        <v>10</v>
      </c>
    </row>
    <row r="21" spans="1:8" x14ac:dyDescent="0.2">
      <c r="A21" s="1" t="s">
        <v>8</v>
      </c>
      <c r="B21" s="1" t="s">
        <v>32</v>
      </c>
      <c r="C21" s="1">
        <v>2.5</v>
      </c>
      <c r="D21" s="1">
        <v>291</v>
      </c>
      <c r="E21" s="1">
        <v>15.83</v>
      </c>
      <c r="F21" s="1">
        <f>LEN(Table1[[#This Row],[Feature]])</f>
        <v>12</v>
      </c>
      <c r="G21" s="1">
        <v>1</v>
      </c>
      <c r="H21" s="1" t="s">
        <v>10</v>
      </c>
    </row>
    <row r="22" spans="1:8" x14ac:dyDescent="0.2">
      <c r="A22" s="1" t="s">
        <v>8</v>
      </c>
      <c r="B22" s="1" t="s">
        <v>33</v>
      </c>
      <c r="C22" s="1">
        <v>1.8846153846153799</v>
      </c>
      <c r="D22" s="1">
        <v>202733</v>
      </c>
      <c r="E22" s="1">
        <v>4.38</v>
      </c>
      <c r="F22" s="1">
        <f>LEN(Table1[[#This Row],[Feature]])</f>
        <v>3</v>
      </c>
      <c r="G22" s="1">
        <v>8</v>
      </c>
      <c r="H22" s="1" t="s">
        <v>23</v>
      </c>
    </row>
    <row r="23" spans="1:8" x14ac:dyDescent="0.2">
      <c r="A23" s="1" t="s">
        <v>8</v>
      </c>
      <c r="B23" s="1" t="s">
        <v>34</v>
      </c>
      <c r="C23" s="1">
        <v>2.3823529411764701</v>
      </c>
      <c r="D23" s="1">
        <v>782</v>
      </c>
      <c r="E23" s="1">
        <v>17.23</v>
      </c>
      <c r="F23" s="1">
        <f>LEN(Table1[[#This Row],[Feature]])</f>
        <v>8</v>
      </c>
      <c r="G23" s="1">
        <v>1</v>
      </c>
      <c r="H23" s="1" t="s">
        <v>10</v>
      </c>
    </row>
    <row r="24" spans="1:8" x14ac:dyDescent="0.2">
      <c r="A24" s="1" t="s">
        <v>8</v>
      </c>
      <c r="B24" s="1" t="s">
        <v>35</v>
      </c>
      <c r="C24" s="1">
        <v>3.1136363636363602</v>
      </c>
      <c r="D24" s="1">
        <v>71974</v>
      </c>
      <c r="E24" s="1">
        <v>6.05</v>
      </c>
      <c r="F24" s="1">
        <f>LEN(Table1[[#This Row],[Feature]])</f>
        <v>15</v>
      </c>
      <c r="G24" s="1">
        <v>7</v>
      </c>
      <c r="H24" s="1" t="s">
        <v>23</v>
      </c>
    </row>
    <row r="25" spans="1:8" x14ac:dyDescent="0.2">
      <c r="A25" s="1" t="s">
        <v>8</v>
      </c>
      <c r="B25" s="1" t="s">
        <v>36</v>
      </c>
      <c r="C25" s="1">
        <v>3.1953125</v>
      </c>
      <c r="D25" s="1">
        <v>1529</v>
      </c>
      <c r="E25" s="1">
        <v>25</v>
      </c>
      <c r="F25" s="1">
        <f>LEN(Table1[[#This Row],[Feature]])</f>
        <v>3</v>
      </c>
      <c r="G25" s="1">
        <v>1</v>
      </c>
      <c r="H25" s="1" t="s">
        <v>10</v>
      </c>
    </row>
    <row r="26" spans="1:8" x14ac:dyDescent="0.2">
      <c r="A26" s="1" t="s">
        <v>37</v>
      </c>
      <c r="B26" s="1" t="s">
        <v>38</v>
      </c>
      <c r="C26" s="1">
        <v>1.92592592592592</v>
      </c>
      <c r="D26" s="2">
        <v>15</v>
      </c>
      <c r="E26" s="2">
        <v>10.91</v>
      </c>
      <c r="F26" s="2">
        <f>LEN(Table1[[#This Row],[Feature]])</f>
        <v>17</v>
      </c>
      <c r="G26" s="2">
        <v>1</v>
      </c>
      <c r="H26" s="2" t="s">
        <v>10</v>
      </c>
    </row>
    <row r="27" spans="1:8" x14ac:dyDescent="0.2">
      <c r="A27" s="1" t="s">
        <v>37</v>
      </c>
      <c r="B27" s="1" t="s">
        <v>39</v>
      </c>
      <c r="C27" s="1">
        <v>1.7521367521367499</v>
      </c>
      <c r="D27" s="1">
        <v>117</v>
      </c>
      <c r="E27" s="1">
        <v>11.15</v>
      </c>
      <c r="F27" s="1">
        <f>LEN(Table1[[#This Row],[Feature]])</f>
        <v>14</v>
      </c>
      <c r="G27" s="1">
        <v>2</v>
      </c>
      <c r="H27" s="1" t="s">
        <v>16</v>
      </c>
    </row>
    <row r="28" spans="1:8" x14ac:dyDescent="0.2">
      <c r="A28" s="1" t="s">
        <v>37</v>
      </c>
      <c r="B28" s="1" t="s">
        <v>40</v>
      </c>
      <c r="C28" s="1">
        <v>2.29059829059829</v>
      </c>
      <c r="D28" s="2">
        <v>1361</v>
      </c>
      <c r="E28" s="2">
        <v>9.32</v>
      </c>
      <c r="F28" s="2">
        <f>LEN(Table1[[#This Row],[Feature]])</f>
        <v>10</v>
      </c>
      <c r="G28" s="2">
        <v>7</v>
      </c>
      <c r="H28" s="2" t="s">
        <v>16</v>
      </c>
    </row>
    <row r="29" spans="1:8" x14ac:dyDescent="0.2">
      <c r="A29" s="1" t="s">
        <v>37</v>
      </c>
      <c r="B29" s="1" t="s">
        <v>41</v>
      </c>
      <c r="C29" s="1">
        <v>2.12962962962962</v>
      </c>
      <c r="D29" s="1">
        <v>138</v>
      </c>
      <c r="E29" s="1">
        <v>7.79</v>
      </c>
      <c r="F29" s="1">
        <f>LEN(Table1[[#This Row],[Feature]])</f>
        <v>14</v>
      </c>
      <c r="G29" s="1">
        <v>2</v>
      </c>
      <c r="H29" s="1" t="s">
        <v>42</v>
      </c>
    </row>
    <row r="30" spans="1:8" x14ac:dyDescent="0.2">
      <c r="A30" s="1" t="s">
        <v>37</v>
      </c>
      <c r="B30" s="1" t="s">
        <v>43</v>
      </c>
      <c r="C30" s="1">
        <v>1.9285714285714199</v>
      </c>
      <c r="D30" s="2">
        <v>31</v>
      </c>
      <c r="E30" s="2">
        <v>7.5</v>
      </c>
      <c r="F30" s="2">
        <f>LEN(Table1[[#This Row],[Feature]])</f>
        <v>13</v>
      </c>
      <c r="G30" s="2">
        <v>7</v>
      </c>
      <c r="H30" s="2" t="s">
        <v>12</v>
      </c>
    </row>
    <row r="31" spans="1:8" x14ac:dyDescent="0.2">
      <c r="A31" s="1" t="s">
        <v>37</v>
      </c>
      <c r="B31" s="1" t="s">
        <v>44</v>
      </c>
      <c r="C31" s="1">
        <v>1.9722222222222201</v>
      </c>
      <c r="D31" s="1">
        <v>964</v>
      </c>
      <c r="E31" s="1">
        <v>8</v>
      </c>
      <c r="F31" s="1">
        <f>LEN(Table1[[#This Row],[Feature]])</f>
        <v>13</v>
      </c>
      <c r="G31" s="1">
        <v>4</v>
      </c>
      <c r="H31" s="1" t="s">
        <v>12</v>
      </c>
    </row>
    <row r="32" spans="1:8" x14ac:dyDescent="0.2">
      <c r="A32" s="1" t="s">
        <v>37</v>
      </c>
      <c r="B32" s="1" t="s">
        <v>45</v>
      </c>
      <c r="C32" s="1">
        <v>2.4444444444444402</v>
      </c>
      <c r="D32" s="2">
        <v>1</v>
      </c>
      <c r="E32" s="2">
        <v>8.33</v>
      </c>
      <c r="F32" s="2">
        <f>LEN(Table1[[#This Row],[Feature]])</f>
        <v>17</v>
      </c>
      <c r="G32" s="2">
        <v>5</v>
      </c>
      <c r="H32" s="2" t="s">
        <v>16</v>
      </c>
    </row>
    <row r="33" spans="1:8" x14ac:dyDescent="0.2">
      <c r="A33" s="1" t="s">
        <v>37</v>
      </c>
      <c r="B33" s="1" t="s">
        <v>46</v>
      </c>
      <c r="C33" s="1">
        <v>1.7166666666666599</v>
      </c>
      <c r="D33" s="1">
        <v>41</v>
      </c>
      <c r="E33" s="1">
        <v>7.95</v>
      </c>
      <c r="F33" s="1">
        <f>LEN(Table1[[#This Row],[Feature]])</f>
        <v>15</v>
      </c>
      <c r="G33" s="1">
        <v>3</v>
      </c>
      <c r="H33" s="1" t="s">
        <v>12</v>
      </c>
    </row>
    <row r="34" spans="1:8" x14ac:dyDescent="0.2">
      <c r="A34" s="1" t="s">
        <v>37</v>
      </c>
      <c r="B34" s="1" t="s">
        <v>47</v>
      </c>
      <c r="C34" s="1">
        <v>2.5288461538461502</v>
      </c>
      <c r="D34" s="2">
        <v>777</v>
      </c>
      <c r="E34" s="2">
        <v>8.26</v>
      </c>
      <c r="F34" s="2">
        <f>LEN(Table1[[#This Row],[Feature]])</f>
        <v>14</v>
      </c>
      <c r="G34" s="2">
        <v>1</v>
      </c>
      <c r="H34" s="2" t="s">
        <v>16</v>
      </c>
    </row>
    <row r="35" spans="1:8" x14ac:dyDescent="0.2">
      <c r="A35" s="1" t="s">
        <v>37</v>
      </c>
      <c r="B35" s="1" t="s">
        <v>48</v>
      </c>
      <c r="C35" s="1">
        <v>2.3434343434343399</v>
      </c>
      <c r="D35" s="1">
        <v>78</v>
      </c>
      <c r="E35" s="1">
        <v>25</v>
      </c>
      <c r="F35" s="1">
        <f>LEN(Table1[[#This Row],[Feature]])</f>
        <v>13</v>
      </c>
      <c r="G35" s="1">
        <v>4</v>
      </c>
      <c r="H35" s="1" t="s">
        <v>16</v>
      </c>
    </row>
    <row r="36" spans="1:8" x14ac:dyDescent="0.2">
      <c r="A36" s="1" t="s">
        <v>37</v>
      </c>
      <c r="B36" s="1" t="s">
        <v>49</v>
      </c>
      <c r="C36" s="1">
        <v>2</v>
      </c>
      <c r="D36" s="2">
        <v>730</v>
      </c>
      <c r="E36" s="2">
        <v>12.9</v>
      </c>
      <c r="F36" s="2">
        <f>LEN(Table1[[#This Row],[Feature]])</f>
        <v>12</v>
      </c>
      <c r="G36" s="2">
        <v>1</v>
      </c>
      <c r="H36" s="2" t="s">
        <v>12</v>
      </c>
    </row>
    <row r="37" spans="1:8" x14ac:dyDescent="0.2">
      <c r="A37" s="1" t="s">
        <v>37</v>
      </c>
      <c r="B37" s="1" t="s">
        <v>50</v>
      </c>
      <c r="C37" s="1">
        <v>2.0370370370370301</v>
      </c>
      <c r="D37" s="1">
        <v>34</v>
      </c>
      <c r="E37" s="1">
        <v>6.47</v>
      </c>
      <c r="F37" s="1">
        <f>LEN(Table1[[#This Row],[Feature]])</f>
        <v>16</v>
      </c>
      <c r="G37" s="1">
        <v>1</v>
      </c>
      <c r="H37" s="1" t="s">
        <v>10</v>
      </c>
    </row>
    <row r="38" spans="1:8" x14ac:dyDescent="0.2">
      <c r="A38" s="1" t="s">
        <v>37</v>
      </c>
      <c r="B38" s="1" t="s">
        <v>51</v>
      </c>
      <c r="C38" s="1">
        <v>2.1</v>
      </c>
      <c r="D38" s="2">
        <v>58</v>
      </c>
      <c r="E38" s="2">
        <v>25</v>
      </c>
      <c r="F38" s="2">
        <f>LEN(Table1[[#This Row],[Feature]])</f>
        <v>15</v>
      </c>
      <c r="G38" s="2">
        <v>4</v>
      </c>
      <c r="H38" s="2" t="s">
        <v>12</v>
      </c>
    </row>
    <row r="39" spans="1:8" x14ac:dyDescent="0.2">
      <c r="A39" s="1" t="s">
        <v>37</v>
      </c>
      <c r="B39" s="1" t="s">
        <v>52</v>
      </c>
      <c r="C39" s="1">
        <v>1.6969696969696899</v>
      </c>
      <c r="D39" s="1">
        <v>55659</v>
      </c>
      <c r="E39" s="1">
        <v>9.2100000000000009</v>
      </c>
      <c r="F39" s="1">
        <f>LEN(Table1[[#This Row],[Feature]])</f>
        <v>8</v>
      </c>
      <c r="G39" s="1">
        <v>12</v>
      </c>
      <c r="H39" s="1" t="s">
        <v>12</v>
      </c>
    </row>
    <row r="40" spans="1:8" x14ac:dyDescent="0.2">
      <c r="A40" s="1" t="s">
        <v>37</v>
      </c>
      <c r="B40" s="1" t="s">
        <v>53</v>
      </c>
      <c r="C40" s="1">
        <v>2.3209876543209802</v>
      </c>
      <c r="D40" s="2">
        <v>1322</v>
      </c>
      <c r="E40" s="2">
        <v>12.33</v>
      </c>
      <c r="F40" s="2">
        <f>LEN(Table1[[#This Row],[Feature]])</f>
        <v>16</v>
      </c>
      <c r="G40" s="2">
        <v>1</v>
      </c>
      <c r="H40" s="2" t="s">
        <v>12</v>
      </c>
    </row>
    <row r="41" spans="1:8" x14ac:dyDescent="0.2">
      <c r="A41" s="1" t="s">
        <v>37</v>
      </c>
      <c r="B41" s="1" t="s">
        <v>54</v>
      </c>
      <c r="C41" s="1">
        <v>2.8803418803418799</v>
      </c>
      <c r="D41" s="1">
        <v>56916</v>
      </c>
      <c r="E41" s="1">
        <v>5.85</v>
      </c>
      <c r="F41" s="1">
        <f>LEN(Table1[[#This Row],[Feature]])</f>
        <v>7</v>
      </c>
      <c r="G41" s="1">
        <v>5</v>
      </c>
      <c r="H41" s="1" t="s">
        <v>12</v>
      </c>
    </row>
    <row r="42" spans="1:8" x14ac:dyDescent="0.2">
      <c r="A42" s="1" t="s">
        <v>37</v>
      </c>
      <c r="B42" s="1" t="s">
        <v>15</v>
      </c>
      <c r="C42" s="1">
        <v>2.2735042735042699</v>
      </c>
      <c r="D42" s="2">
        <v>45914</v>
      </c>
      <c r="E42" s="2">
        <v>7</v>
      </c>
      <c r="F42" s="2">
        <f>LEN(Table1[[#This Row],[Feature]])</f>
        <v>6</v>
      </c>
      <c r="G42" s="2">
        <v>2</v>
      </c>
      <c r="H42" s="2" t="s">
        <v>16</v>
      </c>
    </row>
    <row r="43" spans="1:8" x14ac:dyDescent="0.2">
      <c r="A43" s="1" t="s">
        <v>37</v>
      </c>
      <c r="B43" s="1" t="s">
        <v>55</v>
      </c>
      <c r="C43" s="1">
        <v>1.92592592592592</v>
      </c>
      <c r="D43" s="1">
        <v>21</v>
      </c>
      <c r="E43" s="1">
        <v>6.47</v>
      </c>
      <c r="F43" s="1">
        <f>LEN(Table1[[#This Row],[Feature]])</f>
        <v>12</v>
      </c>
      <c r="G43" s="1">
        <v>1</v>
      </c>
      <c r="H43" s="1" t="s">
        <v>10</v>
      </c>
    </row>
    <row r="44" spans="1:8" x14ac:dyDescent="0.2">
      <c r="A44" s="1" t="s">
        <v>37</v>
      </c>
      <c r="B44" s="1" t="s">
        <v>56</v>
      </c>
      <c r="C44" s="1">
        <v>2.6458333333333299</v>
      </c>
      <c r="D44" s="2">
        <v>10558</v>
      </c>
      <c r="E44" s="2">
        <v>15.79</v>
      </c>
      <c r="F44" s="2">
        <f>LEN(Table1[[#This Row],[Feature]])</f>
        <v>6</v>
      </c>
      <c r="G44" s="2">
        <v>3</v>
      </c>
      <c r="H44" s="2" t="s">
        <v>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 Caroline Rossberg (Umail)</dc:creator>
  <cp:lastModifiedBy>Nicola Caroline Rossberg (Umail)</cp:lastModifiedBy>
  <dcterms:created xsi:type="dcterms:W3CDTF">2026-05-11T10:36:56Z</dcterms:created>
  <dcterms:modified xsi:type="dcterms:W3CDTF">2026-05-11T12:37:10Z</dcterms:modified>
</cp:coreProperties>
</file>